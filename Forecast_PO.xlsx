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IdeaPad\Desktop\Retail\"/>
    </mc:Choice>
  </mc:AlternateContent>
  <xr:revisionPtr revIDLastSave="0" documentId="13_ncr:1_{BB529F2E-C819-4B79-8175-3B555A0274AB}" xr6:coauthVersionLast="47" xr6:coauthVersionMax="47" xr10:uidLastSave="{00000000-0000-0000-0000-000000000000}"/>
  <bookViews>
    <workbookView xWindow="-108" yWindow="-108" windowWidth="23256" windowHeight="12456" firstSheet="1" activeTab="5" xr2:uid="{00000000-000D-0000-FFFF-FFFF00000000}"/>
  </bookViews>
  <sheets>
    <sheet name="Moving Average" sheetId="1" r:id="rId1"/>
    <sheet name="Weight Moving Average" sheetId="3" r:id="rId2"/>
    <sheet name="Exponential Smoothing" sheetId="2" r:id="rId3"/>
    <sheet name="Linear Trend Projection" sheetId="4" r:id="rId4"/>
    <sheet name="Variasi Musiman" sheetId="5" r:id="rId5"/>
    <sheet name="Min Max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1" i="6" l="1"/>
  <c r="B18" i="6"/>
  <c r="B22" i="6" s="1"/>
  <c r="E4" i="5"/>
  <c r="B15" i="6"/>
  <c r="B16" i="6" s="1"/>
  <c r="F21" i="6" s="1"/>
  <c r="F4" i="5"/>
  <c r="E15" i="5"/>
  <c r="E14" i="5"/>
  <c r="G14" i="5" s="1"/>
  <c r="E13" i="5"/>
  <c r="E12" i="5"/>
  <c r="E11" i="5"/>
  <c r="G11" i="5" s="1"/>
  <c r="E10" i="5"/>
  <c r="E9" i="5"/>
  <c r="G9" i="5" s="1"/>
  <c r="E8" i="5"/>
  <c r="G8" i="5" s="1"/>
  <c r="E7" i="5"/>
  <c r="E6" i="5"/>
  <c r="G6" i="5" s="1"/>
  <c r="E5" i="5"/>
  <c r="F15" i="5"/>
  <c r="F14" i="5"/>
  <c r="F13" i="5"/>
  <c r="F12" i="5"/>
  <c r="F11" i="5"/>
  <c r="F10" i="5"/>
  <c r="F9" i="5"/>
  <c r="F8" i="5"/>
  <c r="F7" i="5"/>
  <c r="F6" i="5"/>
  <c r="F5" i="5"/>
  <c r="D16" i="5"/>
  <c r="H16" i="5" s="1"/>
  <c r="C16" i="5"/>
  <c r="C17" i="5" s="1"/>
  <c r="B16" i="5"/>
  <c r="B12" i="4"/>
  <c r="C12" i="4"/>
  <c r="E9" i="4"/>
  <c r="E8" i="4"/>
  <c r="E7" i="4"/>
  <c r="E6" i="4"/>
  <c r="E5" i="4"/>
  <c r="E4" i="4"/>
  <c r="E3" i="4"/>
  <c r="E12" i="4" s="1"/>
  <c r="D9" i="4"/>
  <c r="D8" i="4"/>
  <c r="D7" i="4"/>
  <c r="D6" i="4"/>
  <c r="D5" i="4"/>
  <c r="D4" i="4"/>
  <c r="D3" i="4"/>
  <c r="D12" i="4" s="1"/>
  <c r="F7" i="2"/>
  <c r="G7" i="2" s="1"/>
  <c r="F6" i="2"/>
  <c r="G6" i="2" s="1"/>
  <c r="F4" i="2"/>
  <c r="G4" i="2" s="1"/>
  <c r="F3" i="2"/>
  <c r="G3" i="2" s="1"/>
  <c r="H3" i="2" s="1"/>
  <c r="E5" i="2"/>
  <c r="E4" i="2"/>
  <c r="E3" i="2"/>
  <c r="C8" i="2"/>
  <c r="F8" i="2" s="1"/>
  <c r="G8" i="2" s="1"/>
  <c r="C4" i="2"/>
  <c r="C5" i="2" s="1"/>
  <c r="C6" i="2" s="1"/>
  <c r="C7" i="2" s="1"/>
  <c r="H7" i="2" s="1"/>
  <c r="E8" i="3"/>
  <c r="F8" i="3" s="1"/>
  <c r="G8" i="3" s="1"/>
  <c r="E7" i="3"/>
  <c r="F7" i="3" s="1"/>
  <c r="C7" i="3"/>
  <c r="C8" i="3" s="1"/>
  <c r="C9" i="1"/>
  <c r="C10" i="1" s="1"/>
  <c r="E10" i="1" s="1"/>
  <c r="F10" i="1" s="1"/>
  <c r="G10" i="1" s="1"/>
  <c r="E18" i="4" l="1"/>
  <c r="H8" i="2"/>
  <c r="F5" i="2"/>
  <c r="G5" i="2" s="1"/>
  <c r="H5" i="2" s="1"/>
  <c r="G10" i="5"/>
  <c r="H10" i="5" s="1"/>
  <c r="E16" i="5"/>
  <c r="G12" i="5"/>
  <c r="F24" i="6"/>
  <c r="G5" i="5"/>
  <c r="G13" i="5"/>
  <c r="B24" i="6"/>
  <c r="E6" i="2"/>
  <c r="H4" i="2"/>
  <c r="E9" i="1"/>
  <c r="F9" i="1" s="1"/>
  <c r="G9" i="1" s="1"/>
  <c r="G7" i="3"/>
  <c r="E7" i="2"/>
  <c r="E9" i="2" s="1"/>
  <c r="E10" i="2" s="1"/>
  <c r="H6" i="2"/>
  <c r="G7" i="5"/>
  <c r="H7" i="5" s="1"/>
  <c r="G15" i="5"/>
  <c r="B23" i="6"/>
  <c r="F23" i="6"/>
  <c r="H15" i="5"/>
  <c r="H11" i="5"/>
  <c r="H6" i="5"/>
  <c r="H13" i="5"/>
  <c r="H9" i="5"/>
  <c r="H5" i="5"/>
  <c r="H12" i="5"/>
  <c r="H8" i="5"/>
  <c r="H14" i="5"/>
  <c r="G4" i="5"/>
  <c r="H4" i="5" s="1"/>
  <c r="D17" i="5"/>
  <c r="E21" i="4"/>
  <c r="F11" i="4" l="1"/>
  <c r="F10" i="4"/>
  <c r="F22" i="6"/>
  <c r="G10" i="4" l="1"/>
  <c r="H10" i="4" s="1"/>
  <c r="I10" i="4" s="1"/>
  <c r="G11" i="4"/>
  <c r="H11" i="4" s="1"/>
  <c r="I11" i="4" s="1"/>
</calcChain>
</file>

<file path=xl/sharedStrings.xml><?xml version="1.0" encoding="utf-8"?>
<sst xmlns="http://schemas.openxmlformats.org/spreadsheetml/2006/main" count="167" uniqueCount="82">
  <si>
    <t>Bulan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</si>
  <si>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</si>
  <si>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</si>
  <si>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</si>
  <si>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</si>
  <si>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</si>
  <si>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</si>
  <si>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</si>
  <si>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</si>
  <si>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?</t>
  </si>
  <si>
    <t>Penjualan Aktual</t>
  </si>
  <si>
    <t>Forecast MA (n=3)</t>
  </si>
  <si>
    <t>Forecast WMA (n=4)</t>
  </si>
  <si>
    <t>Bobot</t>
  </si>
  <si>
    <t>Periode</t>
  </si>
  <si>
    <t>1 bulan sebelumnya</t>
  </si>
  <si>
    <t>2 bulan sebelumnya</t>
  </si>
  <si>
    <t>4 bulan sebelumnya</t>
  </si>
  <si>
    <t>3 bulan sebelumnya</t>
  </si>
  <si>
    <t>((82x4)+(95x3)+(82x2)+(79x1))/10</t>
  </si>
  <si>
    <t>((85,6x4)+(82x3)+(95x2)+(82x1))/10</t>
  </si>
  <si>
    <t>(30+70+60)/3</t>
  </si>
  <si>
    <t>(70+60+50)/3</t>
  </si>
  <si>
    <t>Forecast MA Penjualan Harian (n=3)</t>
  </si>
  <si>
    <t>Lead Time Spare Stock (3 hari)</t>
  </si>
  <si>
    <t>Lead Time Spare Stock (2 hari)</t>
  </si>
  <si>
    <t>Jumlah Order</t>
  </si>
  <si>
    <t>a</t>
  </si>
  <si>
    <t>b</t>
  </si>
  <si>
    <t>c</t>
  </si>
  <si>
    <t>d</t>
  </si>
  <si>
    <t>e</t>
  </si>
  <si>
    <t>f</t>
  </si>
  <si>
    <t>d = c/30</t>
  </si>
  <si>
    <t>e = d*2</t>
  </si>
  <si>
    <t>f = c + e</t>
  </si>
  <si>
    <t>e = d*3</t>
  </si>
  <si>
    <t>Forecast (α  = 0,1)</t>
  </si>
  <si>
    <t xml:space="preserve">175 + 0,1 (180 - 175) </t>
  </si>
  <si>
    <t>175,5 + 0,1(168 -175,50)</t>
  </si>
  <si>
    <t xml:space="preserve">174,75 + 0,1 (159-174,75) </t>
  </si>
  <si>
    <t xml:space="preserve">173,18 + 0,1(175- 173,18 ) </t>
  </si>
  <si>
    <t xml:space="preserve">173,36 + 0,1 (190- 173,36)  </t>
  </si>
  <si>
    <t>Mean Absolute Deviation</t>
  </si>
  <si>
    <t xml:space="preserve">Absolute Deviasi </t>
  </si>
  <si>
    <t>Total  Absolute Deviation</t>
  </si>
  <si>
    <t>Forecast WMA Penjualan Harian (n=3)</t>
  </si>
  <si>
    <t>e = c/30</t>
  </si>
  <si>
    <t>Forecast Penjualan Harian (α  = 0,1)</t>
  </si>
  <si>
    <t>f = e*3</t>
  </si>
  <si>
    <t>g = c + f</t>
  </si>
  <si>
    <t xml:space="preserve">Juli </t>
  </si>
  <si>
    <t>September</t>
  </si>
  <si>
    <t>Periode Waktu (x)</t>
  </si>
  <si>
    <t>Penjualan Aktual (y)</t>
  </si>
  <si>
    <r>
      <t>x</t>
    </r>
    <r>
      <rPr>
        <b/>
        <vertAlign val="superscript"/>
        <sz val="11"/>
        <color theme="1"/>
        <rFont val="Calibri"/>
        <family val="2"/>
        <scheme val="minor"/>
      </rPr>
      <t>2</t>
    </r>
  </si>
  <si>
    <t>xy</t>
  </si>
  <si>
    <t>=</t>
  </si>
  <si>
    <t xml:space="preserve">Forecast   Yi = a + bx i
 </t>
  </si>
  <si>
    <t>Forecast   Yi = a + bx i
 Harian</t>
  </si>
  <si>
    <t>g</t>
  </si>
  <si>
    <t>h = g*2</t>
  </si>
  <si>
    <t>Oktober</t>
  </si>
  <si>
    <t>November</t>
  </si>
  <si>
    <t>Desember</t>
  </si>
  <si>
    <t>Tahun</t>
  </si>
  <si>
    <t>Permintaan Rata-rata Musiman</t>
  </si>
  <si>
    <t>Permintaan Rata-rata perbulan</t>
  </si>
  <si>
    <t>Indeks Musiman</t>
  </si>
  <si>
    <t>g = e/f</t>
  </si>
  <si>
    <t>h</t>
  </si>
  <si>
    <t xml:space="preserve">Asumsi Pertumbuhan 2023 = </t>
  </si>
  <si>
    <t>Forecast 2023 Bulanan</t>
  </si>
  <si>
    <t>SD</t>
  </si>
  <si>
    <t>TOTAL</t>
  </si>
  <si>
    <t>Rataan</t>
  </si>
  <si>
    <t>LT</t>
  </si>
  <si>
    <t>3 Hari = 0.1 Bulan</t>
  </si>
  <si>
    <t>SS</t>
  </si>
  <si>
    <t>Min</t>
  </si>
  <si>
    <t>Max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</si>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</sst>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0.000"/>
    <numFmt numFmtId="166" formatCode="0.0"/>
    <numFmt numFmtId="167" formatCode="0.0000000000000"/>
    <numFmt numFmtId="168" formatCode="_(* #,##0_);_(* \(#,##0\);_(* &quot;-&quot;??_);_(@_)"/>
    <numFmt numFmtId="169" formatCode="_(* #,##0.00000_);_(* \(#,##0.000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165" fontId="0" fillId="0" borderId="1" xfId="0" applyNumberFormat="1" applyBorder="1"/>
    <xf numFmtId="2" fontId="0" fillId="0" borderId="1" xfId="0" applyNumberFormat="1" applyBorder="1"/>
    <xf numFmtId="1" fontId="0" fillId="0" borderId="1" xfId="0" applyNumberFormat="1" applyBorder="1"/>
    <xf numFmtId="1" fontId="0" fillId="2" borderId="1" xfId="0" applyNumberFormat="1" applyFill="1" applyBorder="1"/>
    <xf numFmtId="1" fontId="0" fillId="3" borderId="1" xfId="0" applyNumberFormat="1" applyFill="1" applyBorder="1" applyAlignment="1">
      <alignment horizontal="right"/>
    </xf>
    <xf numFmtId="0" fontId="2" fillId="0" borderId="1" xfId="0" applyFont="1" applyBorder="1" applyAlignment="1">
      <alignment horizontal="center" vertical="center" wrapText="1"/>
    </xf>
    <xf numFmtId="1" fontId="0" fillId="0" borderId="0" xfId="0" applyNumberFormat="1"/>
    <xf numFmtId="2" fontId="0" fillId="2" borderId="1" xfId="0" applyNumberFormat="1" applyFill="1" applyBorder="1"/>
    <xf numFmtId="2" fontId="0" fillId="0" borderId="0" xfId="0" applyNumberFormat="1"/>
    <xf numFmtId="0" fontId="0" fillId="0" borderId="0" xfId="0" applyAlignment="1">
      <alignment wrapText="1"/>
    </xf>
    <xf numFmtId="167" fontId="0" fillId="0" borderId="0" xfId="0" applyNumberFormat="1"/>
    <xf numFmtId="0" fontId="2" fillId="0" borderId="1" xfId="0" applyFont="1" applyBorder="1" applyAlignment="1">
      <alignment horizontal="center"/>
    </xf>
    <xf numFmtId="2" fontId="2" fillId="0" borderId="0" xfId="0" applyNumberFormat="1" applyFont="1"/>
    <xf numFmtId="0" fontId="2" fillId="3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3" borderId="0" xfId="0" applyFill="1"/>
    <xf numFmtId="0" fontId="2" fillId="3" borderId="1" xfId="0" applyFont="1" applyFill="1" applyBorder="1" applyAlignment="1">
      <alignment horizontal="center"/>
    </xf>
    <xf numFmtId="0" fontId="0" fillId="3" borderId="2" xfId="0" applyFill="1" applyBorder="1"/>
    <xf numFmtId="0" fontId="0" fillId="3" borderId="1" xfId="0" applyFill="1" applyBorder="1"/>
    <xf numFmtId="0" fontId="0" fillId="3" borderId="1" xfId="0" applyFill="1" applyBorder="1" applyAlignment="1">
      <alignment horizontal="right"/>
    </xf>
    <xf numFmtId="2" fontId="0" fillId="3" borderId="0" xfId="0" applyNumberFormat="1" applyFill="1"/>
    <xf numFmtId="0" fontId="0" fillId="3" borderId="0" xfId="0" applyFill="1" applyAlignment="1">
      <alignment horizontal="center"/>
    </xf>
    <xf numFmtId="166" fontId="0" fillId="3" borderId="1" xfId="0" applyNumberFormat="1" applyFill="1" applyBorder="1"/>
    <xf numFmtId="2" fontId="0" fillId="3" borderId="1" xfId="0" applyNumberFormat="1" applyFill="1" applyBorder="1"/>
    <xf numFmtId="10" fontId="0" fillId="0" borderId="0" xfId="2" applyNumberFormat="1" applyFont="1"/>
    <xf numFmtId="9" fontId="0" fillId="0" borderId="0" xfId="0" applyNumberFormat="1"/>
    <xf numFmtId="168" fontId="0" fillId="0" borderId="1" xfId="1" applyNumberFormat="1" applyFont="1" applyBorder="1"/>
    <xf numFmtId="168" fontId="0" fillId="0" borderId="0" xfId="1" applyNumberFormat="1" applyFont="1"/>
    <xf numFmtId="164" fontId="0" fillId="0" borderId="0" xfId="1" applyFont="1"/>
    <xf numFmtId="169" fontId="0" fillId="0" borderId="0" xfId="1" applyNumberFormat="1" applyFont="1"/>
    <xf numFmtId="164" fontId="0" fillId="0" borderId="0" xfId="0" applyNumberFormat="1"/>
    <xf numFmtId="0" fontId="0" fillId="3" borderId="3" xfId="0" applyFill="1" applyBorder="1" applyAlignment="1">
      <alignment horizontal="right"/>
    </xf>
    <xf numFmtId="168" fontId="0" fillId="0" borderId="0" xfId="0" applyNumberFormat="1"/>
    <xf numFmtId="0" fontId="2" fillId="0" borderId="1" xfId="0" applyFont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666750</xdr:colOff>
      <xdr:row>16</xdr:row>
      <xdr:rowOff>19050</xdr:rowOff>
    </xdr:from>
    <xdr:to>
      <xdr:col>2</xdr:col>
      <xdr:colOff>981075</xdr:colOff>
      <xdr:row>19</xdr:row>
      <xdr:rowOff>85725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0650" y="3257550"/>
          <a:ext cx="1266825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657225</xdr:colOff>
      <xdr:row>19</xdr:row>
      <xdr:rowOff>176212</xdr:rowOff>
    </xdr:from>
    <xdr:ext cx="641458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00000000-0008-0000-0300-000004000000}"/>
                </a:ext>
              </a:extLst>
            </xdr:cNvPr>
            <xdr:cNvSpPr txBox="1"/>
          </xdr:nvSpPr>
          <xdr:spPr>
            <a:xfrm>
              <a:off x="1381125" y="3986212"/>
              <a:ext cx="64145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a = </a:t>
              </a:r>
              <a14:m>
                <m:oMath xmlns:m="http://schemas.openxmlformats.org/officeDocument/2006/math">
                  <m:acc>
                    <m:accPr>
                      <m:chr m:val="̅"/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acc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𝑦</m:t>
                      </m:r>
                    </m:e>
                  </m:acc>
                  <m:r>
                    <a:rPr lang="en-US" sz="1100" b="0" i="1">
                      <a:latin typeface="Cambria Math" panose="02040503050406030204" pitchFamily="18" charset="0"/>
                    </a:rPr>
                    <m:t>−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𝑏</m:t>
                  </m:r>
                </m:oMath>
              </a14:m>
              <a:r>
                <a:rPr lang="en-US" sz="1100"/>
                <a:t> </a:t>
              </a:r>
              <a14:m>
                <m:oMath xmlns:m="http://schemas.openxmlformats.org/officeDocument/2006/math">
                  <m:acc>
                    <m:accPr>
                      <m:chr m:val="̅"/>
                      <m:ctrlPr>
                        <a:rPr lang="en-US" sz="11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accPr>
                    <m:e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𝑥</m:t>
                      </m:r>
                    </m:e>
                  </m:acc>
                </m:oMath>
              </a14:m>
              <a:endParaRPr lang="en-US" sz="1100"/>
            </a:p>
          </xdr:txBody>
        </xdr:sp>
      </mc:Choice>
      <mc:Fallback xmlns="">
        <xdr:sp macro="" textlink="">
          <xdr:nvSpPr>
            <xdr:cNvPr id="4" name="TextBox 3"/>
            <xdr:cNvSpPr txBox="1"/>
          </xdr:nvSpPr>
          <xdr:spPr>
            <a:xfrm>
              <a:off x="1381125" y="3986212"/>
              <a:ext cx="64145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a = </a:t>
              </a:r>
              <a:r>
                <a:rPr lang="en-US" sz="1100" b="0" i="0">
                  <a:latin typeface="Cambria Math" panose="02040503050406030204" pitchFamily="18" charset="0"/>
                </a:rPr>
                <a:t>𝑦 ̅−𝑏</a:t>
              </a:r>
              <a:r>
                <a:rPr lang="en-US" sz="1100"/>
                <a:t>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 ̅</a:t>
              </a:r>
              <a:endParaRPr 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zoomScale="130" zoomScaleNormal="130" workbookViewId="0">
      <selection activeCell="G9" sqref="G9"/>
    </sheetView>
  </sheetViews>
  <sheetFormatPr defaultRowHeight="14.4" x14ac:dyDescent="0.3"/>
  <cols>
    <col min="1" max="1" width="8.44140625" bestFit="1" customWidth="1"/>
    <col min="2" max="2" width="9.88671875" bestFit="1" customWidth="1"/>
    <col min="3" max="3" width="12.33203125" customWidth="1"/>
    <col min="4" max="4" width="12.6640625" bestFit="1" customWidth="1"/>
    <col min="5" max="5" width="16" customWidth="1"/>
    <col min="6" max="6" width="12.33203125" customWidth="1"/>
    <col min="7" max="7" width="15.44140625" customWidth="1"/>
  </cols>
  <sheetData>
    <row r="1" spans="1:7" s="2" customFormat="1" ht="43.2" x14ac:dyDescent="0.3">
      <c r="A1" s="3" t="s">
        <v>0</v>
      </c>
      <c r="B1" s="10" t="s">
        <v>10</v>
      </c>
      <c r="C1" s="10" t="s">
        <v>11</v>
      </c>
      <c r="E1" s="10" t="s">
        <v>23</v>
      </c>
      <c r="F1" s="10" t="s">
        <v>25</v>
      </c>
      <c r="G1" s="3" t="s">
        <v>26</v>
      </c>
    </row>
    <row r="2" spans="1:7" s="2" customFormat="1" x14ac:dyDescent="0.3">
      <c r="A2" s="3" t="s">
        <v>27</v>
      </c>
      <c r="B2" s="10" t="s">
        <v>28</v>
      </c>
      <c r="C2" s="10" t="s">
        <v>29</v>
      </c>
      <c r="E2" s="10" t="s">
        <v>33</v>
      </c>
      <c r="F2" s="10" t="s">
        <v>34</v>
      </c>
      <c r="G2" s="3" t="s">
        <v>35</v>
      </c>
    </row>
    <row r="3" spans="1:7" x14ac:dyDescent="0.3">
      <c r="A3" s="4" t="s">
        <v>1</v>
      </c>
      <c r="B3" s="4">
        <v>40</v>
      </c>
      <c r="C3" s="4"/>
      <c r="E3" s="4"/>
      <c r="F3" s="4"/>
      <c r="G3" s="4"/>
    </row>
    <row r="4" spans="1:7" x14ac:dyDescent="0.3">
      <c r="A4" s="4" t="s">
        <v>2</v>
      </c>
      <c r="B4" s="4">
        <v>60</v>
      </c>
      <c r="C4" s="4"/>
      <c r="E4" s="4"/>
      <c r="F4" s="4"/>
      <c r="G4" s="4"/>
    </row>
    <row r="5" spans="1:7" x14ac:dyDescent="0.3">
      <c r="A5" s="4" t="s">
        <v>3</v>
      </c>
      <c r="B5" s="4">
        <v>50</v>
      </c>
      <c r="C5" s="4"/>
      <c r="E5" s="4"/>
      <c r="F5" s="4"/>
      <c r="G5" s="4"/>
    </row>
    <row r="6" spans="1:7" x14ac:dyDescent="0.3">
      <c r="A6" s="4" t="s">
        <v>4</v>
      </c>
      <c r="B6" s="4">
        <v>30</v>
      </c>
      <c r="C6" s="4"/>
      <c r="E6" s="4"/>
      <c r="F6" s="4"/>
      <c r="G6" s="4"/>
    </row>
    <row r="7" spans="1:7" x14ac:dyDescent="0.3">
      <c r="A7" s="4" t="s">
        <v>5</v>
      </c>
      <c r="B7" s="4">
        <v>70</v>
      </c>
      <c r="C7" s="7"/>
      <c r="E7" s="4"/>
      <c r="F7" s="4"/>
      <c r="G7" s="4"/>
    </row>
    <row r="8" spans="1:7" x14ac:dyDescent="0.3">
      <c r="A8" s="4" t="s">
        <v>6</v>
      </c>
      <c r="B8" s="4">
        <v>60</v>
      </c>
      <c r="C8" s="4"/>
      <c r="E8" s="4"/>
      <c r="F8" s="4"/>
      <c r="G8" s="4"/>
    </row>
    <row r="9" spans="1:7" x14ac:dyDescent="0.3">
      <c r="A9" s="4" t="s">
        <v>7</v>
      </c>
      <c r="B9" s="9" t="s">
        <v>9</v>
      </c>
      <c r="C9" s="12">
        <f>SUM(B6:B8)/3</f>
        <v>53.333333333333336</v>
      </c>
      <c r="D9" t="s">
        <v>21</v>
      </c>
      <c r="E9" s="6">
        <f>C9/30</f>
        <v>1.7777777777777779</v>
      </c>
      <c r="F9" s="6">
        <f>E9*2</f>
        <v>3.5555555555555558</v>
      </c>
      <c r="G9" s="6">
        <f>C9+F9</f>
        <v>56.888888888888893</v>
      </c>
    </row>
    <row r="10" spans="1:7" x14ac:dyDescent="0.3">
      <c r="A10" s="4" t="s">
        <v>8</v>
      </c>
      <c r="B10" s="9" t="s">
        <v>9</v>
      </c>
      <c r="C10" s="12">
        <f>(B7+B8+C9)/3</f>
        <v>61.111111111111114</v>
      </c>
      <c r="D10" t="s">
        <v>22</v>
      </c>
      <c r="E10" s="6">
        <f>C10/30</f>
        <v>2.0370370370370372</v>
      </c>
      <c r="F10" s="6">
        <f>E10*2</f>
        <v>4.0740740740740744</v>
      </c>
      <c r="G10" s="6">
        <f>C10+F10</f>
        <v>65.18518518518519</v>
      </c>
    </row>
  </sheetData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"/>
  <sheetViews>
    <sheetView zoomScale="130" zoomScaleNormal="130" workbookViewId="0">
      <selection activeCell="G7" sqref="G7"/>
    </sheetView>
  </sheetViews>
  <sheetFormatPr defaultRowHeight="14.4" x14ac:dyDescent="0.3"/>
  <cols>
    <col min="1" max="1" width="8.44140625" bestFit="1" customWidth="1"/>
    <col min="2" max="2" width="9.88671875" bestFit="1" customWidth="1"/>
    <col min="3" max="3" width="12.88671875" customWidth="1"/>
    <col min="4" max="4" width="32.44140625" bestFit="1" customWidth="1"/>
    <col min="5" max="5" width="16.44140625" customWidth="1"/>
    <col min="6" max="6" width="14.109375" customWidth="1"/>
    <col min="7" max="7" width="12.88671875" bestFit="1" customWidth="1"/>
  </cols>
  <sheetData>
    <row r="1" spans="1:7" s="2" customFormat="1" ht="43.2" x14ac:dyDescent="0.3">
      <c r="A1" s="3" t="s">
        <v>0</v>
      </c>
      <c r="B1" s="10" t="s">
        <v>10</v>
      </c>
      <c r="C1" s="10" t="s">
        <v>12</v>
      </c>
      <c r="E1" s="10" t="s">
        <v>46</v>
      </c>
      <c r="F1" s="10" t="s">
        <v>24</v>
      </c>
      <c r="G1" s="3" t="s">
        <v>26</v>
      </c>
    </row>
    <row r="2" spans="1:7" s="2" customFormat="1" x14ac:dyDescent="0.3">
      <c r="A2" s="3" t="s">
        <v>27</v>
      </c>
      <c r="B2" s="10" t="s">
        <v>28</v>
      </c>
      <c r="C2" s="10" t="s">
        <v>29</v>
      </c>
      <c r="E2" s="10" t="s">
        <v>33</v>
      </c>
      <c r="F2" s="10" t="s">
        <v>36</v>
      </c>
      <c r="G2" s="3" t="s">
        <v>35</v>
      </c>
    </row>
    <row r="3" spans="1:7" x14ac:dyDescent="0.3">
      <c r="A3" s="4" t="s">
        <v>1</v>
      </c>
      <c r="B3" s="4">
        <v>79</v>
      </c>
      <c r="C3" s="4"/>
      <c r="E3" s="4"/>
      <c r="F3" s="4"/>
      <c r="G3" s="4"/>
    </row>
    <row r="4" spans="1:7" x14ac:dyDescent="0.3">
      <c r="A4" s="4" t="s">
        <v>2</v>
      </c>
      <c r="B4" s="4">
        <v>82</v>
      </c>
      <c r="C4" s="4"/>
      <c r="E4" s="4"/>
      <c r="F4" s="4"/>
      <c r="G4" s="4"/>
    </row>
    <row r="5" spans="1:7" x14ac:dyDescent="0.3">
      <c r="A5" s="4" t="s">
        <v>3</v>
      </c>
      <c r="B5" s="4">
        <v>95</v>
      </c>
      <c r="C5" s="4"/>
      <c r="E5" s="4"/>
      <c r="F5" s="4"/>
      <c r="G5" s="4"/>
    </row>
    <row r="6" spans="1:7" x14ac:dyDescent="0.3">
      <c r="A6" s="4" t="s">
        <v>4</v>
      </c>
      <c r="B6" s="4">
        <v>82</v>
      </c>
      <c r="C6" s="4"/>
      <c r="E6" s="4"/>
      <c r="F6" s="4"/>
      <c r="G6" s="4"/>
    </row>
    <row r="7" spans="1:7" x14ac:dyDescent="0.3">
      <c r="A7" s="4" t="s">
        <v>5</v>
      </c>
      <c r="B7" s="9" t="s">
        <v>9</v>
      </c>
      <c r="C7" s="12">
        <f>((B6*A11)+(B5*A12)+(B4*A13)+(B3*A14))/SUM(A11:A14)</f>
        <v>85.6</v>
      </c>
      <c r="D7" t="s">
        <v>19</v>
      </c>
      <c r="E7" s="6">
        <f>C7/30</f>
        <v>2.8533333333333331</v>
      </c>
      <c r="F7" s="4">
        <f>E7*3</f>
        <v>8.5599999999999987</v>
      </c>
      <c r="G7" s="6">
        <f>C7+F7</f>
        <v>94.16</v>
      </c>
    </row>
    <row r="8" spans="1:7" x14ac:dyDescent="0.3">
      <c r="A8" s="4" t="s">
        <v>6</v>
      </c>
      <c r="B8" s="9" t="s">
        <v>9</v>
      </c>
      <c r="C8" s="12">
        <f>((C7*A11)+(B6*A12)+(B5*A13)+(B4*A14))/SUM(A11:A14)</f>
        <v>86.039999999999992</v>
      </c>
      <c r="D8" t="s">
        <v>20</v>
      </c>
      <c r="E8" s="6">
        <f>C8/30</f>
        <v>2.8679999999999999</v>
      </c>
      <c r="F8" s="6">
        <f>E8*3</f>
        <v>8.6039999999999992</v>
      </c>
      <c r="G8" s="6">
        <f>C8+F8</f>
        <v>94.643999999999991</v>
      </c>
    </row>
    <row r="10" spans="1:7" x14ac:dyDescent="0.3">
      <c r="A10" s="2" t="s">
        <v>13</v>
      </c>
      <c r="B10" s="2" t="s">
        <v>14</v>
      </c>
    </row>
    <row r="11" spans="1:7" x14ac:dyDescent="0.3">
      <c r="A11">
        <v>4</v>
      </c>
      <c r="B11" t="s">
        <v>15</v>
      </c>
    </row>
    <row r="12" spans="1:7" x14ac:dyDescent="0.3">
      <c r="A12">
        <v>3</v>
      </c>
      <c r="B12" t="s">
        <v>16</v>
      </c>
    </row>
    <row r="13" spans="1:7" x14ac:dyDescent="0.3">
      <c r="A13">
        <v>2</v>
      </c>
      <c r="B13" t="s">
        <v>18</v>
      </c>
    </row>
    <row r="14" spans="1:7" x14ac:dyDescent="0.3">
      <c r="A14">
        <v>1</v>
      </c>
      <c r="B14" t="s">
        <v>17</v>
      </c>
    </row>
  </sheetData>
  <pageMargins left="0.7" right="0.7" top="0.75" bottom="0.75" header="0.3" footer="0.3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"/>
  <sheetViews>
    <sheetView workbookViewId="0">
      <selection activeCell="G1" sqref="G1:H2"/>
    </sheetView>
  </sheetViews>
  <sheetFormatPr defaultRowHeight="14.4" x14ac:dyDescent="0.3"/>
  <cols>
    <col min="2" max="2" width="12" customWidth="1"/>
    <col min="3" max="3" width="18.6640625" customWidth="1"/>
    <col min="4" max="4" width="23.88671875" bestFit="1" customWidth="1"/>
    <col min="5" max="5" width="16.44140625" customWidth="1"/>
    <col min="6" max="6" width="19.44140625" customWidth="1"/>
    <col min="7" max="7" width="14.109375" customWidth="1"/>
    <col min="8" max="8" width="12.88671875" bestFit="1" customWidth="1"/>
  </cols>
  <sheetData>
    <row r="1" spans="1:8" ht="43.2" x14ac:dyDescent="0.3">
      <c r="A1" s="3" t="s">
        <v>0</v>
      </c>
      <c r="B1" s="10" t="s">
        <v>10</v>
      </c>
      <c r="C1" s="10" t="s">
        <v>37</v>
      </c>
      <c r="D1" s="2"/>
      <c r="E1" s="3" t="s">
        <v>44</v>
      </c>
      <c r="F1" s="10" t="s">
        <v>48</v>
      </c>
      <c r="G1" s="10" t="s">
        <v>24</v>
      </c>
      <c r="H1" s="3" t="s">
        <v>26</v>
      </c>
    </row>
    <row r="2" spans="1:8" x14ac:dyDescent="0.3">
      <c r="A2" s="3" t="s">
        <v>27</v>
      </c>
      <c r="B2" s="10" t="s">
        <v>28</v>
      </c>
      <c r="C2" s="10" t="s">
        <v>29</v>
      </c>
      <c r="D2" s="2"/>
      <c r="E2" s="16" t="s">
        <v>30</v>
      </c>
      <c r="F2" s="10" t="s">
        <v>47</v>
      </c>
      <c r="G2" s="10" t="s">
        <v>49</v>
      </c>
      <c r="H2" s="3" t="s">
        <v>50</v>
      </c>
    </row>
    <row r="3" spans="1:8" x14ac:dyDescent="0.3">
      <c r="A3" s="4" t="s">
        <v>1</v>
      </c>
      <c r="B3" s="4">
        <v>180</v>
      </c>
      <c r="C3" s="4">
        <v>175</v>
      </c>
      <c r="E3" s="4">
        <f>IF(B3&gt;C3,B3-C3,C3-B3)</f>
        <v>5</v>
      </c>
      <c r="F3" s="6">
        <f>C3/30</f>
        <v>5.833333333333333</v>
      </c>
      <c r="G3" s="6">
        <f>F3*3</f>
        <v>17.5</v>
      </c>
      <c r="H3" s="6">
        <f>C3+G3</f>
        <v>192.5</v>
      </c>
    </row>
    <row r="4" spans="1:8" x14ac:dyDescent="0.3">
      <c r="A4" s="4" t="s">
        <v>2</v>
      </c>
      <c r="B4" s="4">
        <v>168</v>
      </c>
      <c r="C4" s="6">
        <f>C3+(B3-C3)*0.1</f>
        <v>175.5</v>
      </c>
      <c r="D4" s="14" t="s">
        <v>38</v>
      </c>
      <c r="E4" s="6">
        <f t="shared" ref="E4:E7" si="0">IF(B4&gt;C4,B4-C4,C4-B4)</f>
        <v>7.5</v>
      </c>
      <c r="F4" s="6">
        <f t="shared" ref="F4:F8" si="1">C4/30</f>
        <v>5.85</v>
      </c>
      <c r="G4" s="6">
        <f t="shared" ref="G4:G8" si="2">F4*3</f>
        <v>17.549999999999997</v>
      </c>
      <c r="H4" s="6">
        <f t="shared" ref="H4:H8" si="3">C4+G4</f>
        <v>193.05</v>
      </c>
    </row>
    <row r="5" spans="1:8" x14ac:dyDescent="0.3">
      <c r="A5" s="4" t="s">
        <v>3</v>
      </c>
      <c r="B5" s="4">
        <v>159</v>
      </c>
      <c r="C5" s="6">
        <f t="shared" ref="C5:C8" si="4">C4+(B4-C4)*0.1</f>
        <v>174.75</v>
      </c>
      <c r="D5" t="s">
        <v>39</v>
      </c>
      <c r="E5" s="6">
        <f t="shared" si="0"/>
        <v>15.75</v>
      </c>
      <c r="F5" s="6">
        <f t="shared" si="1"/>
        <v>5.8250000000000002</v>
      </c>
      <c r="G5" s="6">
        <f t="shared" si="2"/>
        <v>17.475000000000001</v>
      </c>
      <c r="H5" s="6">
        <f t="shared" si="3"/>
        <v>192.22499999999999</v>
      </c>
    </row>
    <row r="6" spans="1:8" x14ac:dyDescent="0.3">
      <c r="A6" s="4" t="s">
        <v>4</v>
      </c>
      <c r="B6" s="4">
        <v>175</v>
      </c>
      <c r="C6" s="6">
        <f t="shared" si="4"/>
        <v>173.17500000000001</v>
      </c>
      <c r="D6" t="s">
        <v>40</v>
      </c>
      <c r="E6" s="6">
        <f t="shared" si="0"/>
        <v>1.8249999999999886</v>
      </c>
      <c r="F6" s="6">
        <f t="shared" si="1"/>
        <v>5.7725</v>
      </c>
      <c r="G6" s="6">
        <f t="shared" si="2"/>
        <v>17.317499999999999</v>
      </c>
      <c r="H6" s="6">
        <f t="shared" si="3"/>
        <v>190.49250000000001</v>
      </c>
    </row>
    <row r="7" spans="1:8" x14ac:dyDescent="0.3">
      <c r="A7" s="4" t="s">
        <v>5</v>
      </c>
      <c r="B7" s="9">
        <v>190</v>
      </c>
      <c r="C7" s="6">
        <f t="shared" si="4"/>
        <v>173.35750000000002</v>
      </c>
      <c r="D7" t="s">
        <v>41</v>
      </c>
      <c r="E7" s="6">
        <f t="shared" si="0"/>
        <v>16.642499999999984</v>
      </c>
      <c r="F7" s="6">
        <f t="shared" si="1"/>
        <v>5.7785833333333336</v>
      </c>
      <c r="G7" s="6">
        <f t="shared" si="2"/>
        <v>17.335750000000001</v>
      </c>
      <c r="H7" s="6">
        <f t="shared" si="3"/>
        <v>190.69325000000001</v>
      </c>
    </row>
    <row r="8" spans="1:8" x14ac:dyDescent="0.3">
      <c r="A8" s="4" t="s">
        <v>6</v>
      </c>
      <c r="B8" s="9" t="s">
        <v>9</v>
      </c>
      <c r="C8" s="12">
        <f t="shared" si="4"/>
        <v>175.02175000000003</v>
      </c>
      <c r="D8" t="s">
        <v>42</v>
      </c>
      <c r="E8" s="4">
        <v>0</v>
      </c>
      <c r="F8" s="6">
        <f t="shared" si="1"/>
        <v>5.834058333333334</v>
      </c>
      <c r="G8" s="6">
        <f t="shared" si="2"/>
        <v>17.502175000000001</v>
      </c>
      <c r="H8" s="6">
        <f t="shared" si="3"/>
        <v>192.52392500000002</v>
      </c>
    </row>
    <row r="9" spans="1:8" x14ac:dyDescent="0.3">
      <c r="D9" s="1" t="s">
        <v>45</v>
      </c>
      <c r="E9" s="17">
        <f>SUM(E3:E8)</f>
        <v>46.717499999999973</v>
      </c>
    </row>
    <row r="10" spans="1:8" x14ac:dyDescent="0.3">
      <c r="D10" s="1" t="s">
        <v>43</v>
      </c>
      <c r="E10" s="17">
        <f>E9/5</f>
        <v>9.3434999999999953</v>
      </c>
    </row>
    <row r="11" spans="1:8" x14ac:dyDescent="0.3">
      <c r="E11" s="15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1"/>
  <sheetViews>
    <sheetView workbookViewId="0">
      <selection activeCell="C16" sqref="C16"/>
    </sheetView>
  </sheetViews>
  <sheetFormatPr defaultColWidth="9.109375" defaultRowHeight="14.4" x14ac:dyDescent="0.3"/>
  <cols>
    <col min="1" max="1" width="10.88671875" style="21" bestFit="1" customWidth="1"/>
    <col min="2" max="2" width="14.33203125" style="21" customWidth="1"/>
    <col min="3" max="3" width="15.6640625" style="21" customWidth="1"/>
    <col min="4" max="4" width="8" style="21" customWidth="1"/>
    <col min="5" max="5" width="8.109375" style="21" customWidth="1"/>
    <col min="6" max="7" width="10.44140625" style="21" customWidth="1"/>
    <col min="8" max="8" width="12.109375" style="21" customWidth="1"/>
    <col min="9" max="9" width="15.44140625" style="21" customWidth="1"/>
    <col min="10" max="16384" width="9.109375" style="21"/>
  </cols>
  <sheetData>
    <row r="1" spans="1:9" ht="43.2" x14ac:dyDescent="0.3">
      <c r="A1" s="18" t="s">
        <v>0</v>
      </c>
      <c r="B1" s="19" t="s">
        <v>53</v>
      </c>
      <c r="C1" s="19" t="s">
        <v>54</v>
      </c>
      <c r="D1" s="20" t="s">
        <v>55</v>
      </c>
      <c r="E1" s="20" t="s">
        <v>56</v>
      </c>
      <c r="F1" s="10" t="s">
        <v>58</v>
      </c>
      <c r="G1" s="10" t="s">
        <v>59</v>
      </c>
      <c r="H1" s="10" t="s">
        <v>25</v>
      </c>
      <c r="I1" s="3" t="s">
        <v>26</v>
      </c>
    </row>
    <row r="2" spans="1:9" x14ac:dyDescent="0.3">
      <c r="A2" s="18" t="s">
        <v>27</v>
      </c>
      <c r="B2" s="20" t="s">
        <v>28</v>
      </c>
      <c r="C2" s="19" t="s">
        <v>29</v>
      </c>
      <c r="D2" s="22" t="s">
        <v>30</v>
      </c>
      <c r="E2" s="22" t="s">
        <v>31</v>
      </c>
      <c r="F2" s="22" t="s">
        <v>32</v>
      </c>
      <c r="G2" s="22" t="s">
        <v>60</v>
      </c>
      <c r="H2" s="10" t="s">
        <v>61</v>
      </c>
      <c r="I2" s="3" t="s">
        <v>50</v>
      </c>
    </row>
    <row r="3" spans="1:9" x14ac:dyDescent="0.3">
      <c r="A3" s="23" t="s">
        <v>1</v>
      </c>
      <c r="B3" s="24">
        <v>1</v>
      </c>
      <c r="C3" s="24">
        <v>74</v>
      </c>
      <c r="D3" s="24">
        <f>B3^2</f>
        <v>1</v>
      </c>
      <c r="E3" s="24">
        <f>B3*C3</f>
        <v>74</v>
      </c>
      <c r="F3" s="24"/>
      <c r="G3" s="24"/>
      <c r="H3" s="24"/>
      <c r="I3" s="24"/>
    </row>
    <row r="4" spans="1:9" x14ac:dyDescent="0.3">
      <c r="A4" s="23" t="s">
        <v>2</v>
      </c>
      <c r="B4" s="24">
        <v>2</v>
      </c>
      <c r="C4" s="24">
        <v>79</v>
      </c>
      <c r="D4" s="24">
        <f t="shared" ref="D4:D9" si="0">B4^2</f>
        <v>4</v>
      </c>
      <c r="E4" s="24">
        <f t="shared" ref="E4:E9" si="1">B4*C4</f>
        <v>158</v>
      </c>
      <c r="F4" s="24"/>
      <c r="G4" s="24"/>
      <c r="H4" s="24"/>
      <c r="I4" s="24"/>
    </row>
    <row r="5" spans="1:9" x14ac:dyDescent="0.3">
      <c r="A5" s="23" t="s">
        <v>3</v>
      </c>
      <c r="B5" s="24">
        <v>3</v>
      </c>
      <c r="C5" s="24">
        <v>80</v>
      </c>
      <c r="D5" s="24">
        <f t="shared" si="0"/>
        <v>9</v>
      </c>
      <c r="E5" s="24">
        <f t="shared" si="1"/>
        <v>240</v>
      </c>
      <c r="F5" s="24"/>
      <c r="G5" s="24"/>
      <c r="H5" s="24"/>
      <c r="I5" s="24"/>
    </row>
    <row r="6" spans="1:9" x14ac:dyDescent="0.3">
      <c r="A6" s="23" t="s">
        <v>4</v>
      </c>
      <c r="B6" s="24">
        <v>4</v>
      </c>
      <c r="C6" s="24">
        <v>90</v>
      </c>
      <c r="D6" s="24">
        <f t="shared" si="0"/>
        <v>16</v>
      </c>
      <c r="E6" s="24">
        <f t="shared" si="1"/>
        <v>360</v>
      </c>
      <c r="F6" s="24"/>
      <c r="G6" s="24"/>
      <c r="H6" s="24"/>
      <c r="I6" s="24"/>
    </row>
    <row r="7" spans="1:9" x14ac:dyDescent="0.3">
      <c r="A7" s="23" t="s">
        <v>5</v>
      </c>
      <c r="B7" s="24">
        <v>5</v>
      </c>
      <c r="C7" s="9">
        <v>105</v>
      </c>
      <c r="D7" s="24">
        <f t="shared" si="0"/>
        <v>25</v>
      </c>
      <c r="E7" s="24">
        <f t="shared" si="1"/>
        <v>525</v>
      </c>
      <c r="F7" s="24"/>
      <c r="G7" s="24"/>
      <c r="H7" s="24"/>
      <c r="I7" s="24"/>
    </row>
    <row r="8" spans="1:9" x14ac:dyDescent="0.3">
      <c r="A8" s="23" t="s">
        <v>6</v>
      </c>
      <c r="B8" s="24">
        <v>6</v>
      </c>
      <c r="C8" s="9">
        <v>142</v>
      </c>
      <c r="D8" s="24">
        <f t="shared" si="0"/>
        <v>36</v>
      </c>
      <c r="E8" s="24">
        <f t="shared" si="1"/>
        <v>852</v>
      </c>
      <c r="F8" s="24"/>
      <c r="G8" s="24"/>
      <c r="H8" s="24"/>
      <c r="I8" s="24"/>
    </row>
    <row r="9" spans="1:9" x14ac:dyDescent="0.3">
      <c r="A9" s="23" t="s">
        <v>51</v>
      </c>
      <c r="B9" s="24">
        <v>7</v>
      </c>
      <c r="C9" s="24">
        <v>122</v>
      </c>
      <c r="D9" s="24">
        <f t="shared" si="0"/>
        <v>49</v>
      </c>
      <c r="E9" s="24">
        <f t="shared" si="1"/>
        <v>854</v>
      </c>
      <c r="F9" s="24"/>
      <c r="G9" s="24"/>
      <c r="H9" s="24"/>
      <c r="I9" s="24"/>
    </row>
    <row r="10" spans="1:9" x14ac:dyDescent="0.3">
      <c r="A10" s="23" t="s">
        <v>8</v>
      </c>
      <c r="B10" s="24">
        <v>8</v>
      </c>
      <c r="C10" s="25" t="s">
        <v>9</v>
      </c>
      <c r="D10" s="24"/>
      <c r="E10" s="24"/>
      <c r="F10" s="8">
        <f>E21+(E18*B10)</f>
        <v>141</v>
      </c>
      <c r="G10" s="29">
        <f>F10/30</f>
        <v>4.7</v>
      </c>
      <c r="H10" s="29">
        <f>G10*2</f>
        <v>9.4</v>
      </c>
      <c r="I10" s="28">
        <f>F10+H10</f>
        <v>150.4</v>
      </c>
    </row>
    <row r="11" spans="1:9" x14ac:dyDescent="0.3">
      <c r="A11" s="23" t="s">
        <v>52</v>
      </c>
      <c r="B11" s="24">
        <v>9</v>
      </c>
      <c r="C11" s="25" t="s">
        <v>9</v>
      </c>
      <c r="D11" s="24"/>
      <c r="E11" s="24"/>
      <c r="F11" s="8">
        <f>E21+(E18*B11)</f>
        <v>151.53571428571431</v>
      </c>
      <c r="G11" s="29">
        <f>F11/30</f>
        <v>5.0511904761904765</v>
      </c>
      <c r="H11" s="29">
        <f>G11*2</f>
        <v>10.102380952380953</v>
      </c>
      <c r="I11" s="28">
        <f>F11+H11</f>
        <v>161.63809523809525</v>
      </c>
    </row>
    <row r="12" spans="1:9" x14ac:dyDescent="0.3">
      <c r="B12" s="24">
        <f>SUM(B3:B9)</f>
        <v>28</v>
      </c>
      <c r="C12" s="24">
        <f>SUM(C3:C9)</f>
        <v>692</v>
      </c>
      <c r="D12" s="24">
        <f>SUM(D3:D9)</f>
        <v>140</v>
      </c>
      <c r="E12" s="24">
        <f>SUM(E3:E9)</f>
        <v>3063</v>
      </c>
      <c r="F12" s="24"/>
      <c r="G12" s="24"/>
      <c r="H12" s="24"/>
      <c r="I12" s="24"/>
    </row>
    <row r="17" spans="3:7" x14ac:dyDescent="0.3">
      <c r="C17"/>
    </row>
    <row r="18" spans="3:7" x14ac:dyDescent="0.3">
      <c r="D18" s="27" t="s">
        <v>57</v>
      </c>
      <c r="E18" s="26">
        <f>(E12-((B12*C12)/B9))/(D12-((B12^2)/B9))</f>
        <v>10.535714285714286</v>
      </c>
      <c r="F18" s="26"/>
      <c r="G18" s="26"/>
    </row>
    <row r="21" spans="3:7" x14ac:dyDescent="0.3">
      <c r="D21" s="27" t="s">
        <v>57</v>
      </c>
      <c r="E21" s="26">
        <f>(C12/B9)-(E18*(B12/B9))</f>
        <v>56.714285714285715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9"/>
  <sheetViews>
    <sheetView workbookViewId="0">
      <selection activeCell="H8" sqref="H8"/>
    </sheetView>
  </sheetViews>
  <sheetFormatPr defaultRowHeight="14.4" x14ac:dyDescent="0.3"/>
  <cols>
    <col min="1" max="1" width="10.88671875" bestFit="1" customWidth="1"/>
    <col min="2" max="4" width="9.5546875" bestFit="1" customWidth="1"/>
    <col min="5" max="5" width="16.33203125" customWidth="1"/>
    <col min="6" max="6" width="15.5546875" customWidth="1"/>
    <col min="7" max="7" width="10.5546875" bestFit="1" customWidth="1"/>
    <col min="8" max="8" width="16" customWidth="1"/>
  </cols>
  <sheetData>
    <row r="1" spans="1:8" ht="45" customHeight="1" x14ac:dyDescent="0.3">
      <c r="A1" s="40" t="s">
        <v>0</v>
      </c>
      <c r="B1" s="39" t="s">
        <v>65</v>
      </c>
      <c r="C1" s="39"/>
      <c r="D1" s="39"/>
      <c r="E1" s="42" t="s">
        <v>66</v>
      </c>
      <c r="F1" s="42" t="s">
        <v>67</v>
      </c>
      <c r="G1" s="42" t="s">
        <v>68</v>
      </c>
      <c r="H1" s="42" t="s">
        <v>72</v>
      </c>
    </row>
    <row r="2" spans="1:8" x14ac:dyDescent="0.3">
      <c r="A2" s="41"/>
      <c r="B2" s="3">
        <v>2020</v>
      </c>
      <c r="C2" s="3">
        <v>2021</v>
      </c>
      <c r="D2" s="3">
        <v>2022</v>
      </c>
      <c r="E2" s="42"/>
      <c r="F2" s="42"/>
      <c r="G2" s="42"/>
      <c r="H2" s="42"/>
    </row>
    <row r="3" spans="1:8" x14ac:dyDescent="0.3">
      <c r="A3" s="18" t="s">
        <v>27</v>
      </c>
      <c r="B3" s="3" t="s">
        <v>28</v>
      </c>
      <c r="C3" s="3" t="s">
        <v>29</v>
      </c>
      <c r="D3" s="3" t="s">
        <v>30</v>
      </c>
      <c r="E3" s="3" t="s">
        <v>31</v>
      </c>
      <c r="F3" s="3" t="s">
        <v>32</v>
      </c>
      <c r="G3" s="3" t="s">
        <v>69</v>
      </c>
      <c r="H3" s="3" t="s">
        <v>70</v>
      </c>
    </row>
    <row r="4" spans="1:8" x14ac:dyDescent="0.3">
      <c r="A4" s="23" t="s">
        <v>1</v>
      </c>
      <c r="B4" s="4">
        <v>80</v>
      </c>
      <c r="C4" s="4">
        <v>85</v>
      </c>
      <c r="D4" s="4">
        <v>105</v>
      </c>
      <c r="E4" s="4">
        <f>SUM(B4:D4)/3</f>
        <v>90</v>
      </c>
      <c r="F4" s="4">
        <f>SUM($B$4:$D$15)/36</f>
        <v>94</v>
      </c>
      <c r="G4" s="5">
        <f>E4/F4</f>
        <v>0.95744680851063835</v>
      </c>
      <c r="H4" s="7">
        <f>($H$16/12)*G4</f>
        <v>102.78829787234044</v>
      </c>
    </row>
    <row r="5" spans="1:8" x14ac:dyDescent="0.3">
      <c r="A5" s="23" t="s">
        <v>2</v>
      </c>
      <c r="B5" s="4">
        <v>70</v>
      </c>
      <c r="C5" s="4">
        <v>85</v>
      </c>
      <c r="D5" s="4">
        <v>85</v>
      </c>
      <c r="E5" s="4">
        <f t="shared" ref="E5:E15" si="0">SUM(B5:D5)/3</f>
        <v>80</v>
      </c>
      <c r="F5" s="4">
        <f t="shared" ref="F5:F15" si="1">SUM($B$4:$D$15)/36</f>
        <v>94</v>
      </c>
      <c r="G5" s="5">
        <f t="shared" ref="G5:G15" si="2">E5/F5</f>
        <v>0.85106382978723405</v>
      </c>
      <c r="H5" s="7">
        <f t="shared" ref="H5:H15" si="3">($H$16/12)*G5</f>
        <v>91.367375886524826</v>
      </c>
    </row>
    <row r="6" spans="1:8" x14ac:dyDescent="0.3">
      <c r="A6" s="23" t="s">
        <v>3</v>
      </c>
      <c r="B6" s="4">
        <v>80</v>
      </c>
      <c r="C6" s="4">
        <v>93</v>
      </c>
      <c r="D6" s="4">
        <v>82</v>
      </c>
      <c r="E6" s="4">
        <f t="shared" si="0"/>
        <v>85</v>
      </c>
      <c r="F6" s="4">
        <f t="shared" si="1"/>
        <v>94</v>
      </c>
      <c r="G6" s="5">
        <f t="shared" si="2"/>
        <v>0.9042553191489362</v>
      </c>
      <c r="H6" s="7">
        <f t="shared" si="3"/>
        <v>97.077836879432624</v>
      </c>
    </row>
    <row r="7" spans="1:8" x14ac:dyDescent="0.3">
      <c r="A7" s="23" t="s">
        <v>4</v>
      </c>
      <c r="B7" s="4">
        <v>90</v>
      </c>
      <c r="C7" s="4">
        <v>95</v>
      </c>
      <c r="D7" s="4">
        <v>115</v>
      </c>
      <c r="E7" s="4">
        <f t="shared" si="0"/>
        <v>100</v>
      </c>
      <c r="F7" s="4">
        <f t="shared" si="1"/>
        <v>94</v>
      </c>
      <c r="G7" s="5">
        <f t="shared" si="2"/>
        <v>1.0638297872340425</v>
      </c>
      <c r="H7" s="7">
        <f t="shared" si="3"/>
        <v>114.20921985815603</v>
      </c>
    </row>
    <row r="8" spans="1:8" x14ac:dyDescent="0.3">
      <c r="A8" s="23" t="s">
        <v>5</v>
      </c>
      <c r="B8" s="4">
        <v>113</v>
      </c>
      <c r="C8" s="4">
        <v>125</v>
      </c>
      <c r="D8" s="4">
        <v>131</v>
      </c>
      <c r="E8" s="4">
        <f t="shared" si="0"/>
        <v>123</v>
      </c>
      <c r="F8" s="4">
        <f t="shared" si="1"/>
        <v>94</v>
      </c>
      <c r="G8" s="5">
        <f t="shared" si="2"/>
        <v>1.3085106382978724</v>
      </c>
      <c r="H8" s="7">
        <f t="shared" si="3"/>
        <v>140.47734042553193</v>
      </c>
    </row>
    <row r="9" spans="1:8" x14ac:dyDescent="0.3">
      <c r="A9" s="23" t="s">
        <v>6</v>
      </c>
      <c r="B9" s="4">
        <v>110</v>
      </c>
      <c r="C9" s="4">
        <v>115</v>
      </c>
      <c r="D9" s="4">
        <v>120</v>
      </c>
      <c r="E9" s="4">
        <f t="shared" si="0"/>
        <v>115</v>
      </c>
      <c r="F9" s="4">
        <f t="shared" si="1"/>
        <v>94</v>
      </c>
      <c r="G9" s="5">
        <f t="shared" si="2"/>
        <v>1.2234042553191489</v>
      </c>
      <c r="H9" s="7">
        <f t="shared" si="3"/>
        <v>131.34060283687944</v>
      </c>
    </row>
    <row r="10" spans="1:8" x14ac:dyDescent="0.3">
      <c r="A10" s="23" t="s">
        <v>51</v>
      </c>
      <c r="B10" s="4">
        <v>100</v>
      </c>
      <c r="C10" s="4">
        <v>102</v>
      </c>
      <c r="D10" s="4">
        <v>113</v>
      </c>
      <c r="E10" s="4">
        <f t="shared" si="0"/>
        <v>105</v>
      </c>
      <c r="F10" s="4">
        <f t="shared" si="1"/>
        <v>94</v>
      </c>
      <c r="G10" s="5">
        <f t="shared" si="2"/>
        <v>1.1170212765957446</v>
      </c>
      <c r="H10" s="7">
        <f t="shared" si="3"/>
        <v>119.91968085106382</v>
      </c>
    </row>
    <row r="11" spans="1:8" x14ac:dyDescent="0.3">
      <c r="A11" s="23" t="s">
        <v>8</v>
      </c>
      <c r="B11" s="4">
        <v>88</v>
      </c>
      <c r="C11" s="4">
        <v>102</v>
      </c>
      <c r="D11" s="4">
        <v>110</v>
      </c>
      <c r="E11" s="4">
        <f t="shared" si="0"/>
        <v>100</v>
      </c>
      <c r="F11" s="4">
        <f t="shared" si="1"/>
        <v>94</v>
      </c>
      <c r="G11" s="5">
        <f t="shared" si="2"/>
        <v>1.0638297872340425</v>
      </c>
      <c r="H11" s="7">
        <f t="shared" si="3"/>
        <v>114.20921985815603</v>
      </c>
    </row>
    <row r="12" spans="1:8" x14ac:dyDescent="0.3">
      <c r="A12" s="23" t="s">
        <v>52</v>
      </c>
      <c r="B12" s="4">
        <v>85</v>
      </c>
      <c r="C12" s="4">
        <v>90</v>
      </c>
      <c r="D12" s="4">
        <v>95</v>
      </c>
      <c r="E12" s="4">
        <f t="shared" si="0"/>
        <v>90</v>
      </c>
      <c r="F12" s="4">
        <f t="shared" si="1"/>
        <v>94</v>
      </c>
      <c r="G12" s="5">
        <f t="shared" si="2"/>
        <v>0.95744680851063835</v>
      </c>
      <c r="H12" s="7">
        <f t="shared" si="3"/>
        <v>102.78829787234044</v>
      </c>
    </row>
    <row r="13" spans="1:8" x14ac:dyDescent="0.3">
      <c r="A13" s="24" t="s">
        <v>62</v>
      </c>
      <c r="B13" s="4">
        <v>77</v>
      </c>
      <c r="C13" s="4">
        <v>78</v>
      </c>
      <c r="D13" s="4">
        <v>85</v>
      </c>
      <c r="E13" s="4">
        <f t="shared" si="0"/>
        <v>80</v>
      </c>
      <c r="F13" s="4">
        <f t="shared" si="1"/>
        <v>94</v>
      </c>
      <c r="G13" s="5">
        <f t="shared" si="2"/>
        <v>0.85106382978723405</v>
      </c>
      <c r="H13" s="7">
        <f t="shared" si="3"/>
        <v>91.367375886524826</v>
      </c>
    </row>
    <row r="14" spans="1:8" x14ac:dyDescent="0.3">
      <c r="A14" s="24" t="s">
        <v>63</v>
      </c>
      <c r="B14" s="4">
        <v>75</v>
      </c>
      <c r="C14" s="4">
        <v>82</v>
      </c>
      <c r="D14" s="4">
        <v>83</v>
      </c>
      <c r="E14" s="4">
        <f t="shared" si="0"/>
        <v>80</v>
      </c>
      <c r="F14" s="4">
        <f t="shared" si="1"/>
        <v>94</v>
      </c>
      <c r="G14" s="5">
        <f t="shared" si="2"/>
        <v>0.85106382978723405</v>
      </c>
      <c r="H14" s="7">
        <f t="shared" si="3"/>
        <v>91.367375886524826</v>
      </c>
    </row>
    <row r="15" spans="1:8" x14ac:dyDescent="0.3">
      <c r="A15" s="24" t="s">
        <v>64</v>
      </c>
      <c r="B15" s="4">
        <v>82</v>
      </c>
      <c r="C15" s="4">
        <v>78</v>
      </c>
      <c r="D15" s="4">
        <v>80</v>
      </c>
      <c r="E15" s="4">
        <f t="shared" si="0"/>
        <v>80</v>
      </c>
      <c r="F15" s="4">
        <f t="shared" si="1"/>
        <v>94</v>
      </c>
      <c r="G15" s="5">
        <f t="shared" si="2"/>
        <v>0.85106382978723405</v>
      </c>
      <c r="H15" s="7">
        <f t="shared" si="3"/>
        <v>91.367375886524826</v>
      </c>
    </row>
    <row r="16" spans="1:8" x14ac:dyDescent="0.3">
      <c r="B16" s="32">
        <f>SUM(B4:B15)</f>
        <v>1050</v>
      </c>
      <c r="C16" s="32">
        <f>SUM(C4:C15)</f>
        <v>1130</v>
      </c>
      <c r="D16" s="32">
        <f>SUM(D4:D15)</f>
        <v>1204</v>
      </c>
      <c r="E16" s="32">
        <f>SUM(E4:E15)</f>
        <v>1128</v>
      </c>
      <c r="F16" s="32"/>
      <c r="G16" s="32"/>
      <c r="H16" s="32">
        <f>D16+(D16*E19)</f>
        <v>1288.28</v>
      </c>
    </row>
    <row r="17" spans="2:5" x14ac:dyDescent="0.3">
      <c r="C17" s="30">
        <f>(C16-B16)/B16</f>
        <v>7.6190476190476197E-2</v>
      </c>
      <c r="D17" s="30">
        <f>(D16-C16)/C16</f>
        <v>6.5486725663716813E-2</v>
      </c>
    </row>
    <row r="19" spans="2:5" x14ac:dyDescent="0.3">
      <c r="B19" t="s">
        <v>71</v>
      </c>
      <c r="E19" s="31">
        <v>7.0000000000000007E-2</v>
      </c>
    </row>
  </sheetData>
  <mergeCells count="6">
    <mergeCell ref="H1:H2"/>
    <mergeCell ref="B1:D1"/>
    <mergeCell ref="A1:A2"/>
    <mergeCell ref="E1:E2"/>
    <mergeCell ref="F1:F2"/>
    <mergeCell ref="G1:G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4"/>
  <sheetViews>
    <sheetView tabSelected="1" workbookViewId="0">
      <selection activeCell="B24" sqref="B24"/>
    </sheetView>
  </sheetViews>
  <sheetFormatPr defaultRowHeight="14.4" x14ac:dyDescent="0.3"/>
  <cols>
    <col min="1" max="1" width="10.88671875" bestFit="1" customWidth="1"/>
    <col min="2" max="2" width="18.5546875" bestFit="1" customWidth="1"/>
    <col min="3" max="3" width="12" bestFit="1" customWidth="1"/>
    <col min="5" max="5" width="14.109375" bestFit="1" customWidth="1"/>
  </cols>
  <sheetData>
    <row r="1" spans="1:3" x14ac:dyDescent="0.3">
      <c r="A1" s="20" t="s">
        <v>0</v>
      </c>
      <c r="B1" s="3" t="s">
        <v>10</v>
      </c>
    </row>
    <row r="2" spans="1:3" x14ac:dyDescent="0.3">
      <c r="A2" s="20" t="s">
        <v>27</v>
      </c>
      <c r="B2" s="3" t="s">
        <v>28</v>
      </c>
    </row>
    <row r="3" spans="1:3" x14ac:dyDescent="0.3">
      <c r="A3" s="24" t="s">
        <v>1</v>
      </c>
      <c r="B3" s="4">
        <v>75</v>
      </c>
    </row>
    <row r="4" spans="1:3" x14ac:dyDescent="0.3">
      <c r="A4" s="24" t="s">
        <v>2</v>
      </c>
      <c r="B4" s="4">
        <v>70</v>
      </c>
    </row>
    <row r="5" spans="1:3" x14ac:dyDescent="0.3">
      <c r="A5" s="24" t="s">
        <v>3</v>
      </c>
      <c r="B5" s="4">
        <v>69</v>
      </c>
    </row>
    <row r="6" spans="1:3" x14ac:dyDescent="0.3">
      <c r="A6" s="24" t="s">
        <v>4</v>
      </c>
      <c r="B6" s="4">
        <v>64</v>
      </c>
    </row>
    <row r="7" spans="1:3" x14ac:dyDescent="0.3">
      <c r="A7" s="24" t="s">
        <v>5</v>
      </c>
      <c r="B7" s="4">
        <v>76</v>
      </c>
    </row>
    <row r="8" spans="1:3" x14ac:dyDescent="0.3">
      <c r="A8" s="24" t="s">
        <v>6</v>
      </c>
      <c r="B8" s="4">
        <v>69</v>
      </c>
    </row>
    <row r="9" spans="1:3" x14ac:dyDescent="0.3">
      <c r="A9" s="24" t="s">
        <v>51</v>
      </c>
      <c r="B9" s="4">
        <v>57</v>
      </c>
    </row>
    <row r="10" spans="1:3" x14ac:dyDescent="0.3">
      <c r="A10" s="24" t="s">
        <v>8</v>
      </c>
      <c r="B10" s="4">
        <v>68</v>
      </c>
    </row>
    <row r="11" spans="1:3" x14ac:dyDescent="0.3">
      <c r="A11" s="24" t="s">
        <v>52</v>
      </c>
      <c r="B11" s="4">
        <v>72</v>
      </c>
    </row>
    <row r="12" spans="1:3" x14ac:dyDescent="0.3">
      <c r="A12" s="24" t="s">
        <v>62</v>
      </c>
      <c r="B12" s="4">
        <v>59</v>
      </c>
    </row>
    <row r="13" spans="1:3" x14ac:dyDescent="0.3">
      <c r="A13" s="24" t="s">
        <v>63</v>
      </c>
      <c r="B13" s="4">
        <v>60</v>
      </c>
    </row>
    <row r="14" spans="1:3" x14ac:dyDescent="0.3">
      <c r="A14" s="24" t="s">
        <v>64</v>
      </c>
      <c r="B14" s="4">
        <v>65</v>
      </c>
    </row>
    <row r="15" spans="1:3" x14ac:dyDescent="0.3">
      <c r="A15" s="37" t="s">
        <v>74</v>
      </c>
      <c r="B15" s="34">
        <f>SUM(B3:B14)</f>
        <v>804</v>
      </c>
      <c r="C15" s="34"/>
    </row>
    <row r="16" spans="1:3" x14ac:dyDescent="0.3">
      <c r="A16" s="37" t="s">
        <v>75</v>
      </c>
      <c r="B16" s="34">
        <f>B15/12</f>
        <v>67</v>
      </c>
      <c r="C16" s="34"/>
    </row>
    <row r="17" spans="1:6" x14ac:dyDescent="0.3">
      <c r="B17" s="34"/>
      <c r="C17" s="35"/>
    </row>
    <row r="18" spans="1:6" x14ac:dyDescent="0.3">
      <c r="A18" s="21" t="s">
        <v>73</v>
      </c>
      <c r="B18" s="13">
        <f>_xlfn.STDEV.P(B3:B14)</f>
        <v>5.873670062235365</v>
      </c>
    </row>
    <row r="19" spans="1:6" x14ac:dyDescent="0.3">
      <c r="A19" t="s">
        <v>76</v>
      </c>
      <c r="B19" s="36" t="s">
        <v>77</v>
      </c>
      <c r="C19">
        <v>0.1</v>
      </c>
    </row>
    <row r="21" spans="1:6" x14ac:dyDescent="0.3">
      <c r="A21" t="s">
        <v>78</v>
      </c>
      <c r="B21" s="11">
        <f>B18*(C19^0.5)</f>
        <v>1.857417562100671</v>
      </c>
      <c r="E21" t="s">
        <v>78</v>
      </c>
      <c r="F21" s="11">
        <f>(B7-B16)*C19</f>
        <v>0.9</v>
      </c>
    </row>
    <row r="22" spans="1:6" x14ac:dyDescent="0.3">
      <c r="A22" t="s">
        <v>79</v>
      </c>
      <c r="B22" s="11">
        <f>(B16*C19)+B21</f>
        <v>8.5574175621006709</v>
      </c>
      <c r="E22" t="s">
        <v>79</v>
      </c>
      <c r="F22" s="33">
        <f>(B16*C19)+F21</f>
        <v>7.6000000000000005</v>
      </c>
    </row>
    <row r="23" spans="1:6" x14ac:dyDescent="0.3">
      <c r="A23" t="s">
        <v>80</v>
      </c>
      <c r="B23" s="38">
        <f>2*(B16*C19)+B21</f>
        <v>15.257417562100672</v>
      </c>
      <c r="E23" t="s">
        <v>80</v>
      </c>
      <c r="F23" s="33">
        <f>2*(B16*C19)+F21</f>
        <v>14.3</v>
      </c>
    </row>
    <row r="24" spans="1:6" x14ac:dyDescent="0.3">
      <c r="A24" t="s">
        <v>81</v>
      </c>
      <c r="B24" s="38">
        <f>2*B16*C19</f>
        <v>13.4</v>
      </c>
      <c r="E24" t="s">
        <v>81</v>
      </c>
      <c r="F24" s="38">
        <f>2*B16*C19</f>
        <v>13.4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Moving Average</vt:lpstr>
      <vt:lpstr>Weight Moving Average</vt:lpstr>
      <vt:lpstr>Exponential Smoothing</vt:lpstr>
      <vt:lpstr>Linear Trend Projection</vt:lpstr>
      <vt:lpstr>Variasi Musiman</vt:lpstr>
      <vt:lpstr>Min Max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SM Lenovo</cp:lastModifiedBy>
  <dcterms:created xsi:type="dcterms:W3CDTF">2023-09-02T15:34:02Z</dcterms:created>
  <dcterms:modified xsi:type="dcterms:W3CDTF">2023-09-03T10:36:20Z</dcterms:modified>
</cp:coreProperties>
</file>